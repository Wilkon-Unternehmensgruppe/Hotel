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sse 1" sheetId="1" r:id="rId4"/>
  </sheets>
  <definedNames/>
  <calcPr/>
  <extLst>
    <ext uri="GoogleSheetsCustomDataVersion1">
      <go:sheetsCustomData xmlns:go="http://customooxmlschemas.google.com/" r:id="rId5" roundtripDataSignature="AMtx7miH6rSXSr4lKILWQQtO4TwihM+aTQ=="/>
    </ext>
  </extLst>
</workbook>
</file>

<file path=xl/sharedStrings.xml><?xml version="1.0" encoding="utf-8"?>
<sst xmlns="http://schemas.openxmlformats.org/spreadsheetml/2006/main" count="30" uniqueCount="29">
  <si>
    <t>CASH COUNT</t>
  </si>
  <si>
    <t>DATUM:</t>
  </si>
  <si>
    <t>00.00.00</t>
  </si>
  <si>
    <t xml:space="preserve">Kasse </t>
  </si>
  <si>
    <t>Nachtdienst</t>
  </si>
  <si>
    <t>SCHEINE</t>
  </si>
  <si>
    <t>MÜNZEN</t>
  </si>
  <si>
    <t>ROLLEN</t>
  </si>
  <si>
    <t>2       50</t>
  </si>
  <si>
    <t>1       25</t>
  </si>
  <si>
    <t>0,5      20</t>
  </si>
  <si>
    <t>0,2        8</t>
  </si>
  <si>
    <t>0,1        4</t>
  </si>
  <si>
    <t>0,05    2,5</t>
  </si>
  <si>
    <t>0,02       1</t>
  </si>
  <si>
    <t>0,01    0,5</t>
  </si>
  <si>
    <t>Geldbörse</t>
  </si>
  <si>
    <t>Belege</t>
  </si>
  <si>
    <t xml:space="preserve">Briefmarken </t>
  </si>
  <si>
    <t>TOTAL IST</t>
  </si>
  <si>
    <t>TOTAL SOLL</t>
  </si>
  <si>
    <t>DIFFERENZ</t>
  </si>
  <si>
    <t>übergeben</t>
  </si>
  <si>
    <t>übernommen</t>
  </si>
  <si>
    <t>FreeCityTicket</t>
  </si>
  <si>
    <t>Lfd-Nr. Von</t>
  </si>
  <si>
    <t xml:space="preserve">Lfd-Nr. Bis </t>
  </si>
  <si>
    <t>Bestand</t>
  </si>
  <si>
    <t>Total FCT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</si>
</sst>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"/>
  </numFmts>
  <fonts count="8">
    <font>
      <sz val="11.0"/>
      <color theme="1"/>
      <name val="Calibri"/>
      <scheme val="minor"/>
    </font>
    <font>
      <b/>
      <sz val="12.0"/>
      <color theme="1"/>
      <name val="Arial"/>
    </font>
    <font>
      <sz val="11.0"/>
      <color theme="1"/>
      <name val="Calibri"/>
    </font>
    <font/>
    <font>
      <sz val="12.0"/>
      <color theme="1"/>
      <name val="Arial"/>
    </font>
    <font>
      <sz val="12.0"/>
      <color rgb="FF000000"/>
      <name val="Arial"/>
    </font>
    <font>
      <b/>
      <sz val="14.0"/>
      <color theme="1"/>
      <name val="Arial"/>
    </font>
    <font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C99FF"/>
        <bgColor rgb="FFCC99FF"/>
      </patternFill>
    </fill>
    <fill>
      <patternFill patternType="solid">
        <fgColor theme="5"/>
        <bgColor theme="5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double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1" fillId="0" fontId="2" numFmtId="0" xfId="0" applyBorder="1" applyFont="1"/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3" numFmtId="0" xfId="0" applyBorder="1" applyFont="1"/>
    <xf borderId="1" fillId="3" fontId="1" numFmtId="0" xfId="0" applyAlignment="1" applyBorder="1" applyFill="1" applyFont="1">
      <alignment horizontal="center"/>
    </xf>
    <xf borderId="2" fillId="3" fontId="4" numFmtId="0" xfId="0" applyBorder="1" applyFont="1"/>
    <xf borderId="1" fillId="4" fontId="4" numFmtId="0" xfId="0" applyBorder="1" applyFill="1" applyFont="1"/>
    <xf borderId="1" fillId="2" fontId="4" numFmtId="0" xfId="0" applyBorder="1" applyFont="1"/>
    <xf borderId="1" fillId="0" fontId="4" numFmtId="164" xfId="0" applyBorder="1" applyFont="1" applyNumberFormat="1"/>
    <xf borderId="1" fillId="4" fontId="5" numFmtId="0" xfId="0" applyBorder="1" applyFont="1"/>
    <xf borderId="1" fillId="2" fontId="4" numFmtId="0" xfId="0" applyAlignment="1" applyBorder="1" applyFont="1">
      <alignment readingOrder="0"/>
    </xf>
    <xf borderId="1" fillId="3" fontId="4" numFmtId="0" xfId="0" applyBorder="1" applyFont="1"/>
    <xf borderId="1" fillId="3" fontId="4" numFmtId="164" xfId="0" applyBorder="1" applyFont="1" applyNumberFormat="1"/>
    <xf borderId="1" fillId="5" fontId="4" numFmtId="0" xfId="0" applyBorder="1" applyFill="1" applyFont="1"/>
    <xf borderId="1" fillId="6" fontId="4" numFmtId="0" xfId="0" applyAlignment="1" applyBorder="1" applyFill="1" applyFont="1">
      <alignment horizontal="right"/>
    </xf>
    <xf borderId="0" fillId="0" fontId="2" numFmtId="164" xfId="0" applyFont="1" applyNumberFormat="1"/>
    <xf borderId="1" fillId="7" fontId="4" numFmtId="0" xfId="0" applyAlignment="1" applyBorder="1" applyFill="1" applyFont="1">
      <alignment horizontal="center"/>
    </xf>
    <xf borderId="4" fillId="7" fontId="4" numFmtId="0" xfId="0" applyAlignment="1" applyBorder="1" applyFont="1">
      <alignment horizontal="center"/>
    </xf>
    <xf borderId="5" fillId="3" fontId="4" numFmtId="0" xfId="0" applyAlignment="1" applyBorder="1" applyFont="1">
      <alignment horizontal="center"/>
    </xf>
    <xf borderId="5" fillId="8" fontId="4" numFmtId="0" xfId="0" applyBorder="1" applyFill="1" applyFont="1"/>
    <xf borderId="6" fillId="0" fontId="4" numFmtId="164" xfId="0" applyBorder="1" applyFont="1" applyNumberFormat="1"/>
    <xf borderId="7" fillId="3" fontId="4" numFmtId="0" xfId="0" applyAlignment="1" applyBorder="1" applyFont="1">
      <alignment horizontal="center"/>
    </xf>
    <xf borderId="7" fillId="9" fontId="4" numFmtId="164" xfId="0" applyAlignment="1" applyBorder="1" applyFill="1" applyFont="1" applyNumberFormat="1">
      <alignment readingOrder="0"/>
    </xf>
    <xf borderId="7" fillId="8" fontId="4" numFmtId="164" xfId="0" applyBorder="1" applyFont="1" applyNumberFormat="1"/>
    <xf borderId="8" fillId="3" fontId="4" numFmtId="0" xfId="0" applyAlignment="1" applyBorder="1" applyFont="1">
      <alignment horizontal="center"/>
    </xf>
    <xf borderId="8" fillId="8" fontId="4" numFmtId="0" xfId="0" applyBorder="1" applyFont="1"/>
    <xf borderId="8" fillId="9" fontId="4" numFmtId="164" xfId="0" applyAlignment="1" applyBorder="1" applyFont="1" applyNumberFormat="1">
      <alignment readingOrder="0"/>
    </xf>
    <xf borderId="9" fillId="3" fontId="4" numFmtId="0" xfId="0" applyAlignment="1" applyBorder="1" applyFont="1">
      <alignment horizontal="center"/>
    </xf>
    <xf borderId="9" fillId="2" fontId="4" numFmtId="0" xfId="0" applyBorder="1" applyFont="1"/>
    <xf borderId="9" fillId="10" fontId="4" numFmtId="0" xfId="0" applyBorder="1" applyFill="1" applyFont="1"/>
    <xf borderId="4" fillId="3" fontId="4" numFmtId="0" xfId="0" applyAlignment="1" applyBorder="1" applyFont="1">
      <alignment horizontal="center"/>
    </xf>
    <xf borderId="4" fillId="2" fontId="2" numFmtId="0" xfId="0" applyBorder="1" applyFont="1"/>
    <xf borderId="4" fillId="10" fontId="2" numFmtId="0" xfId="0" applyBorder="1" applyFont="1"/>
    <xf borderId="10" fillId="11" fontId="6" numFmtId="0" xfId="0" applyAlignment="1" applyBorder="1" applyFill="1" applyFont="1">
      <alignment horizontal="center" vertical="center"/>
    </xf>
    <xf borderId="11" fillId="11" fontId="4" numFmtId="0" xfId="0" applyBorder="1" applyFont="1"/>
    <xf borderId="12" fillId="11" fontId="4" numFmtId="0" xfId="0" applyBorder="1" applyFont="1"/>
    <xf borderId="13" fillId="0" fontId="3" numFmtId="0" xfId="0" applyBorder="1" applyFont="1"/>
    <xf borderId="1" fillId="2" fontId="4" numFmtId="3" xfId="0" applyBorder="1" applyFont="1" applyNumberFormat="1"/>
    <xf borderId="14" fillId="12" fontId="4" numFmtId="3" xfId="0" applyBorder="1" applyFill="1" applyFont="1" applyNumberFormat="1"/>
    <xf borderId="1" fillId="11" fontId="4" numFmtId="3" xfId="0" applyBorder="1" applyFont="1" applyNumberFormat="1"/>
    <xf borderId="1" fillId="11" fontId="4" numFmtId="0" xfId="0" applyBorder="1" applyFont="1"/>
    <xf borderId="14" fillId="11" fontId="4" numFmtId="0" xfId="0" applyBorder="1" applyFont="1"/>
    <xf borderId="15" fillId="0" fontId="3" numFmtId="0" xfId="0" applyBorder="1" applyFont="1"/>
    <xf borderId="16" fillId="2" fontId="4" numFmtId="3" xfId="0" applyBorder="1" applyFont="1" applyNumberFormat="1"/>
    <xf borderId="17" fillId="12" fontId="4" numFmtId="0" xfId="0" applyBorder="1" applyFont="1"/>
    <xf borderId="0" fillId="0" fontId="7" numFmtId="0" xfId="0" applyFont="1"/>
    <xf borderId="18" fillId="11" fontId="1" numFmtId="0" xfId="0" applyAlignment="1" applyBorder="1" applyFont="1">
      <alignment horizontal="right"/>
    </xf>
    <xf borderId="18" fillId="12" fontId="1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5.71"/>
    <col customWidth="1" min="3" max="3" width="18.0"/>
    <col customWidth="1" min="4" max="4" width="9.57"/>
    <col customWidth="1" min="5" max="26" width="11.43"/>
  </cols>
  <sheetData>
    <row r="1">
      <c r="A1" s="1" t="s">
        <v>0</v>
      </c>
      <c r="B1" s="1" t="s">
        <v>1</v>
      </c>
      <c r="C1" s="2" t="s">
        <v>2</v>
      </c>
    </row>
    <row r="2">
      <c r="A2" s="3"/>
      <c r="B2" s="3"/>
      <c r="C2" s="3"/>
    </row>
    <row r="3">
      <c r="A3" s="4" t="s">
        <v>3</v>
      </c>
      <c r="B3" s="5" t="s">
        <v>4</v>
      </c>
      <c r="C3" s="6"/>
    </row>
    <row r="4">
      <c r="A4" s="7" t="s">
        <v>5</v>
      </c>
      <c r="B4" s="8"/>
      <c r="C4" s="6"/>
    </row>
    <row r="5">
      <c r="A5" s="9">
        <v>500.0</v>
      </c>
      <c r="B5" s="10">
        <v>0.0</v>
      </c>
      <c r="C5" s="11">
        <f t="shared" ref="C5:C11" si="1">A5*B5</f>
        <v>0</v>
      </c>
    </row>
    <row r="6">
      <c r="A6" s="12">
        <v>200.0</v>
      </c>
      <c r="B6" s="10">
        <v>0.0</v>
      </c>
      <c r="C6" s="11">
        <f t="shared" si="1"/>
        <v>0</v>
      </c>
    </row>
    <row r="7">
      <c r="A7" s="12">
        <v>100.0</v>
      </c>
      <c r="B7" s="10">
        <v>0.0</v>
      </c>
      <c r="C7" s="11">
        <f t="shared" si="1"/>
        <v>0</v>
      </c>
    </row>
    <row r="8">
      <c r="A8" s="12">
        <v>50.0</v>
      </c>
      <c r="B8" s="13">
        <v>0.0</v>
      </c>
      <c r="C8" s="11">
        <f t="shared" si="1"/>
        <v>0</v>
      </c>
    </row>
    <row r="9">
      <c r="A9" s="12">
        <v>20.0</v>
      </c>
      <c r="B9" s="13">
        <v>0.0</v>
      </c>
      <c r="C9" s="11">
        <f t="shared" si="1"/>
        <v>0</v>
      </c>
    </row>
    <row r="10">
      <c r="A10" s="12">
        <v>10.0</v>
      </c>
      <c r="B10" s="13">
        <v>0.0</v>
      </c>
      <c r="C10" s="11">
        <f t="shared" si="1"/>
        <v>0</v>
      </c>
    </row>
    <row r="11">
      <c r="A11" s="12">
        <v>5.0</v>
      </c>
      <c r="B11" s="13">
        <v>0.0</v>
      </c>
      <c r="C11" s="11">
        <f t="shared" si="1"/>
        <v>0</v>
      </c>
    </row>
    <row r="12">
      <c r="A12" s="7" t="s">
        <v>6</v>
      </c>
      <c r="B12" s="14"/>
      <c r="C12" s="15"/>
    </row>
    <row r="13">
      <c r="A13" s="16">
        <v>2.0</v>
      </c>
      <c r="B13" s="13">
        <v>0.0</v>
      </c>
      <c r="C13" s="11">
        <f>B13*A13</f>
        <v>0</v>
      </c>
    </row>
    <row r="14">
      <c r="A14" s="16">
        <v>1.0</v>
      </c>
      <c r="B14" s="13">
        <v>0.0</v>
      </c>
      <c r="C14" s="11">
        <f t="shared" ref="C14:C20" si="2">A14*B14</f>
        <v>0</v>
      </c>
    </row>
    <row r="15">
      <c r="A15" s="16">
        <v>0.5</v>
      </c>
      <c r="B15" s="13">
        <v>0.0</v>
      </c>
      <c r="C15" s="11">
        <f t="shared" si="2"/>
        <v>0</v>
      </c>
    </row>
    <row r="16">
      <c r="A16" s="16">
        <v>0.2</v>
      </c>
      <c r="B16" s="13">
        <v>0.0</v>
      </c>
      <c r="C16" s="11">
        <f t="shared" si="2"/>
        <v>0</v>
      </c>
    </row>
    <row r="17">
      <c r="A17" s="16">
        <v>0.1</v>
      </c>
      <c r="B17" s="13">
        <v>0.0</v>
      </c>
      <c r="C17" s="11">
        <f t="shared" si="2"/>
        <v>0</v>
      </c>
    </row>
    <row r="18">
      <c r="A18" s="16">
        <v>0.05</v>
      </c>
      <c r="B18" s="13">
        <v>0.0</v>
      </c>
      <c r="C18" s="11">
        <f t="shared" si="2"/>
        <v>0</v>
      </c>
    </row>
    <row r="19">
      <c r="A19" s="16">
        <v>0.02</v>
      </c>
      <c r="B19" s="13">
        <v>0.0</v>
      </c>
      <c r="C19" s="11">
        <f t="shared" si="2"/>
        <v>0</v>
      </c>
    </row>
    <row r="20">
      <c r="A20" s="16">
        <v>0.01</v>
      </c>
      <c r="B20" s="13">
        <v>0.0</v>
      </c>
      <c r="C20" s="11">
        <f t="shared" si="2"/>
        <v>0</v>
      </c>
    </row>
    <row r="21" ht="15.75" customHeight="1">
      <c r="A21" s="7" t="s">
        <v>7</v>
      </c>
      <c r="B21" s="14"/>
      <c r="C21" s="15"/>
    </row>
    <row r="22" ht="15.75" customHeight="1">
      <c r="A22" s="17" t="s">
        <v>8</v>
      </c>
      <c r="B22" s="10">
        <v>0.0</v>
      </c>
      <c r="C22" s="11">
        <f>B22*50</f>
        <v>0</v>
      </c>
    </row>
    <row r="23" ht="15.75" customHeight="1">
      <c r="A23" s="17" t="s">
        <v>9</v>
      </c>
      <c r="B23" s="10">
        <v>0.0</v>
      </c>
      <c r="C23" s="11">
        <f>B23*25</f>
        <v>0</v>
      </c>
    </row>
    <row r="24" ht="15.75" customHeight="1">
      <c r="A24" s="17" t="s">
        <v>10</v>
      </c>
      <c r="B24" s="10">
        <v>0.0</v>
      </c>
      <c r="C24" s="11">
        <v>0.0</v>
      </c>
    </row>
    <row r="25" ht="15.75" customHeight="1">
      <c r="A25" s="17" t="s">
        <v>11</v>
      </c>
      <c r="B25" s="10">
        <v>0.0</v>
      </c>
      <c r="C25" s="11">
        <f>B25*8</f>
        <v>0</v>
      </c>
    </row>
    <row r="26" ht="15.75" customHeight="1">
      <c r="A26" s="17" t="s">
        <v>12</v>
      </c>
      <c r="B26" s="10">
        <v>0.0</v>
      </c>
      <c r="C26" s="11">
        <f>B26*4</f>
        <v>0</v>
      </c>
    </row>
    <row r="27" ht="15.75" customHeight="1">
      <c r="A27" s="17" t="s">
        <v>13</v>
      </c>
      <c r="B27" s="10">
        <v>0.0</v>
      </c>
      <c r="C27" s="11">
        <v>0.0</v>
      </c>
      <c r="E27" s="18"/>
    </row>
    <row r="28" ht="15.75" customHeight="1">
      <c r="A28" s="17" t="s">
        <v>14</v>
      </c>
      <c r="B28" s="10">
        <v>0.0</v>
      </c>
      <c r="C28" s="11">
        <v>0.0</v>
      </c>
    </row>
    <row r="29" ht="15.75" customHeight="1">
      <c r="A29" s="17" t="s">
        <v>15</v>
      </c>
      <c r="B29" s="10">
        <v>0.0</v>
      </c>
      <c r="C29" s="11">
        <v>0.0</v>
      </c>
    </row>
    <row r="30" ht="15.75" customHeight="1">
      <c r="A30" s="19" t="s">
        <v>16</v>
      </c>
      <c r="B30" s="13">
        <v>0.0</v>
      </c>
      <c r="C30" s="11">
        <v>100.0</v>
      </c>
    </row>
    <row r="31" ht="15.75" customHeight="1">
      <c r="A31" s="19" t="s">
        <v>17</v>
      </c>
      <c r="B31" s="13">
        <v>0.0</v>
      </c>
      <c r="C31" s="11">
        <f>3.8</f>
        <v>3.8</v>
      </c>
    </row>
    <row r="32" ht="15.75" customHeight="1">
      <c r="A32" s="20" t="s">
        <v>18</v>
      </c>
      <c r="B32" s="10">
        <v>0.0</v>
      </c>
      <c r="C32" s="11">
        <v>0.0</v>
      </c>
    </row>
    <row r="33" ht="15.75" customHeight="1">
      <c r="A33" s="21" t="s">
        <v>19</v>
      </c>
      <c r="B33" s="22"/>
      <c r="C33" s="23">
        <f>SUM(C5:C11,C13:C20,C22:C32)</f>
        <v>103.8</v>
      </c>
    </row>
    <row r="34" ht="15.75" customHeight="1">
      <c r="A34" s="24" t="s">
        <v>20</v>
      </c>
      <c r="B34" s="25">
        <v>0.0</v>
      </c>
      <c r="C34" s="26"/>
    </row>
    <row r="35" ht="15.75" customHeight="1">
      <c r="A35" s="27" t="s">
        <v>21</v>
      </c>
      <c r="B35" s="28"/>
      <c r="C35" s="29">
        <v>0.0</v>
      </c>
    </row>
    <row r="36" ht="15.75" customHeight="1">
      <c r="A36" s="30" t="s">
        <v>22</v>
      </c>
      <c r="B36" s="31"/>
      <c r="C36" s="32"/>
    </row>
    <row r="37" ht="15.75" customHeight="1">
      <c r="A37" s="33" t="s">
        <v>23</v>
      </c>
      <c r="B37" s="34"/>
      <c r="C37" s="35"/>
    </row>
    <row r="38" ht="15.75" customHeight="1">
      <c r="A38" s="36" t="s">
        <v>24</v>
      </c>
      <c r="B38" s="37" t="s">
        <v>25</v>
      </c>
      <c r="C38" s="37" t="s">
        <v>26</v>
      </c>
      <c r="D38" s="38" t="s">
        <v>27</v>
      </c>
    </row>
    <row r="39" ht="15.75" customHeight="1">
      <c r="A39" s="39"/>
      <c r="B39" s="40">
        <v>84351.0</v>
      </c>
      <c r="C39" s="40">
        <v>84400.0</v>
      </c>
      <c r="D39" s="41">
        <f>IF(B39&gt;0,C39-B39+1,0)+6</f>
        <v>56</v>
      </c>
    </row>
    <row r="40" ht="15.75" customHeight="1">
      <c r="A40" s="39"/>
      <c r="B40" s="42"/>
      <c r="C40" s="43" t="s">
        <v>26</v>
      </c>
      <c r="D40" s="41"/>
    </row>
    <row r="41" ht="15.75" customHeight="1">
      <c r="A41" s="39"/>
      <c r="B41" s="40">
        <v>84547.0</v>
      </c>
      <c r="C41" s="40">
        <v>84599.0</v>
      </c>
      <c r="D41" s="41">
        <f>IF(B41&gt;0,C41-B41+1,0)</f>
        <v>53</v>
      </c>
    </row>
    <row r="42" ht="15.75" customHeight="1">
      <c r="A42" s="39"/>
      <c r="B42" s="43"/>
      <c r="C42" s="43"/>
      <c r="D42" s="44"/>
    </row>
    <row r="43" ht="15.75" customHeight="1">
      <c r="A43" s="45"/>
      <c r="B43" s="46"/>
      <c r="C43" s="46"/>
      <c r="D43" s="47"/>
    </row>
    <row r="44" ht="15.75" customHeight="1">
      <c r="A44" s="48"/>
      <c r="B44" s="48"/>
      <c r="C44" s="49" t="s">
        <v>28</v>
      </c>
      <c r="D44" s="50">
        <f>D39+D41+D43</f>
        <v>109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C3"/>
    <mergeCell ref="B4:C4"/>
    <mergeCell ref="A38:A43"/>
  </mergeCells>
  <printOptions/>
  <pageMargins bottom="0.787401575" footer="0.0" header="0.0" left="0.7" right="0.7" top="0.787401575"/>
  <pageSetup paperSize="9" scale="9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2019-08-08T13:06:25Z</dcterms:created>
  <dc:creator>425-Recept 13</dc:creator>
</cp:coreProperties>
</file>